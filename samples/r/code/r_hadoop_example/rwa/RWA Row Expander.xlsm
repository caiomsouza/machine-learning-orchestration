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E\Development\Github\HSBC\LCP\rwa\"/>
    </mc:Choice>
  </mc:AlternateContent>
  <bookViews>
    <workbookView xWindow="120" yWindow="105" windowWidth="23820" windowHeight="9600" activeTab="1"/>
  </bookViews>
  <sheets>
    <sheet name="Inputs" sheetId="1" r:id="rId1"/>
    <sheet name="ExpandedRows" sheetId="2" r:id="rId2"/>
    <sheet name="Notes" sheetId="3" r:id="rId3"/>
  </sheets>
  <functionGroups builtInGroupCount="18"/>
  <definedNames>
    <definedName name="rCollateral">Inputs!$B$33:$D$36</definedName>
    <definedName name="rCustomer">Inputs!$B$8:$E$11</definedName>
    <definedName name="rFacility">Inputs!$B$16:$E$20</definedName>
    <definedName name="rOutput">ExpandedRows!$B$6</definedName>
    <definedName name="rProduct">Inputs!$B$25:$G$28</definedName>
    <definedName name="rVisualise">Inputs!$I$7</definedName>
  </definedNames>
  <calcPr calcId="152511"/>
</workbook>
</file>

<file path=xl/calcChain.xml><?xml version="1.0" encoding="utf-8"?>
<calcChain xmlns="http://schemas.openxmlformats.org/spreadsheetml/2006/main">
  <c r="D28" i="1" l="1"/>
  <c r="D20" i="1"/>
  <c r="D19" i="1"/>
  <c r="D18" i="1"/>
  <c r="D17" i="1"/>
  <c r="D16" i="1"/>
  <c r="C26" i="1"/>
  <c r="D26" i="1" s="1"/>
  <c r="C27" i="1"/>
  <c r="D27" i="1" s="1"/>
  <c r="C25" i="1"/>
  <c r="D25" i="1" s="1"/>
  <c r="E20" i="1"/>
  <c r="E19" i="1"/>
  <c r="E18" i="1"/>
  <c r="E17" i="1"/>
  <c r="E16" i="1"/>
  <c r="C20" i="1"/>
  <c r="C19" i="1"/>
  <c r="C18" i="1"/>
  <c r="C17" i="1"/>
  <c r="C10" i="1"/>
  <c r="C9" i="1"/>
</calcChain>
</file>

<file path=xl/sharedStrings.xml><?xml version="1.0" encoding="utf-8"?>
<sst xmlns="http://schemas.openxmlformats.org/spreadsheetml/2006/main" count="219" uniqueCount="64">
  <si>
    <t>Customer</t>
  </si>
  <si>
    <t>Collateral</t>
  </si>
  <si>
    <t>Customer Id</t>
  </si>
  <si>
    <t>Facility</t>
  </si>
  <si>
    <t>Product</t>
  </si>
  <si>
    <t>C0001</t>
  </si>
  <si>
    <t>C0002</t>
  </si>
  <si>
    <t>C0003</t>
  </si>
  <si>
    <t>C0004</t>
  </si>
  <si>
    <t>Parent</t>
  </si>
  <si>
    <t>Parental Support?</t>
  </si>
  <si>
    <t>Obligor PD</t>
  </si>
  <si>
    <t>F0001</t>
  </si>
  <si>
    <t>F0002</t>
  </si>
  <si>
    <t>F0003</t>
  </si>
  <si>
    <t>F0004</t>
  </si>
  <si>
    <t>F0005</t>
  </si>
  <si>
    <t>Facility Id</t>
  </si>
  <si>
    <t>Parent Facility</t>
  </si>
  <si>
    <t>Limit</t>
  </si>
  <si>
    <t>Product Id</t>
  </si>
  <si>
    <t>P0001</t>
  </si>
  <si>
    <t>Drawn</t>
  </si>
  <si>
    <t>Drawn Bal</t>
  </si>
  <si>
    <t>P0002</t>
  </si>
  <si>
    <t>P0003</t>
  </si>
  <si>
    <t>P0004</t>
  </si>
  <si>
    <t>Visualistion of Facility / Product Hierarchy</t>
  </si>
  <si>
    <t>Scenarios</t>
  </si>
  <si>
    <r>
      <t xml:space="preserve">Note: </t>
    </r>
    <r>
      <rPr>
        <sz val="11"/>
        <color rgb="FFFF0000"/>
        <rFont val="Calibri"/>
        <family val="2"/>
        <scheme val="minor"/>
      </rPr>
      <t>red boxes</t>
    </r>
    <r>
      <rPr>
        <sz val="11"/>
        <color theme="1"/>
        <rFont val="Calibri"/>
        <family val="2"/>
        <scheme val="minor"/>
      </rPr>
      <t xml:space="preserve"> denote named range areas</t>
    </r>
  </si>
  <si>
    <t>Capped split</t>
  </si>
  <si>
    <t>Straight split</t>
  </si>
  <si>
    <t>Limited capacity</t>
  </si>
  <si>
    <t>(CCF assumed to be 100% in example)</t>
  </si>
  <si>
    <t>RWA Row Expander - Inputs and Visualisation</t>
  </si>
  <si>
    <t>LGD</t>
  </si>
  <si>
    <t>RolledUpBal</t>
  </si>
  <si>
    <t>Undrawn</t>
  </si>
  <si>
    <t>RolledUpUndrawn</t>
  </si>
  <si>
    <t>Collateral Id</t>
  </si>
  <si>
    <t>Value</t>
  </si>
  <si>
    <t>Drawn Collateral</t>
  </si>
  <si>
    <t>Drawn Collateral ID</t>
  </si>
  <si>
    <t>Undrawn Collateral</t>
  </si>
  <si>
    <t>Undrawn Collateral ID</t>
  </si>
  <si>
    <t>80;80</t>
  </si>
  <si>
    <t>C0003;C0004</t>
  </si>
  <si>
    <t>20;20</t>
  </si>
  <si>
    <t>Collateral ID</t>
  </si>
  <si>
    <t>Exposure Type</t>
  </si>
  <si>
    <t>Collateral Type</t>
  </si>
  <si>
    <t>Exposure</t>
  </si>
  <si>
    <t>PD</t>
  </si>
  <si>
    <t>Maturity</t>
  </si>
  <si>
    <t>RWA</t>
  </si>
  <si>
    <t>FieldName</t>
  </si>
  <si>
    <t>Derived?</t>
  </si>
  <si>
    <t>Output Data Structure</t>
  </si>
  <si>
    <t>Collateralised</t>
  </si>
  <si>
    <t>Uncollateralised</t>
  </si>
  <si>
    <t>RWA Row Expander - Example Row Output</t>
  </si>
  <si>
    <t>Example flat structure</t>
  </si>
  <si>
    <t>(don't change orange cell)</t>
  </si>
  <si>
    <t>RWA Row Expander - Workings page, please ignore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</si>
</sst>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_-* #,##0.0_-;\-* #,##0.0_-;_-* &quot;-&quot;??_-;_-@_-"/>
    <numFmt numFmtId="165" formatCode="_-* #,##0_-;\-* #,##0_-;_-* &quot;-&quot;??_-;_-@_-"/>
    <numFmt numFmtId="166" formatCode="0.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</fills>
  <borders count="18">
    <border>
      <left/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/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5">
    <xf numFmtId="0" fontId="0" fillId="0" borderId="0" xfId="0"/>
    <xf numFmtId="0" fontId="4" fillId="0" borderId="0" xfId="0" applyFont="1"/>
    <xf numFmtId="0" fontId="0" fillId="0" borderId="0" xfId="0" applyAlignment="1">
      <alignment horizontal="center"/>
    </xf>
    <xf numFmtId="43" fontId="0" fillId="0" borderId="0" xfId="1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65" fontId="0" fillId="0" borderId="3" xfId="1" applyNumberFormat="1" applyFont="1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165" fontId="0" fillId="0" borderId="0" xfId="1" applyNumberFormat="1" applyFont="1" applyBorder="1"/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165" fontId="0" fillId="0" borderId="8" xfId="1" applyNumberFormat="1" applyFont="1" applyBorder="1"/>
    <xf numFmtId="0" fontId="0" fillId="0" borderId="9" xfId="0" applyBorder="1" applyAlignment="1">
      <alignment horizontal="center"/>
    </xf>
    <xf numFmtId="0" fontId="0" fillId="3" borderId="0" xfId="0" applyFill="1" applyAlignment="1">
      <alignment horizontal="center" vertical="center" wrapText="1"/>
    </xf>
    <xf numFmtId="0" fontId="0" fillId="0" borderId="1" xfId="0" applyBorder="1"/>
    <xf numFmtId="0" fontId="2" fillId="2" borderId="0" xfId="0" applyFont="1" applyFill="1"/>
    <xf numFmtId="0" fontId="5" fillId="2" borderId="0" xfId="0" applyFont="1" applyFill="1"/>
    <xf numFmtId="0" fontId="0" fillId="4" borderId="0" xfId="0" applyFill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3" fillId="0" borderId="0" xfId="0" applyFont="1"/>
    <xf numFmtId="10" fontId="0" fillId="0" borderId="4" xfId="0" applyNumberFormat="1" applyBorder="1"/>
    <xf numFmtId="10" fontId="0" fillId="0" borderId="6" xfId="0" applyNumberFormat="1" applyBorder="1"/>
    <xf numFmtId="10" fontId="0" fillId="0" borderId="9" xfId="0" applyNumberFormat="1" applyBorder="1"/>
    <xf numFmtId="0" fontId="0" fillId="5" borderId="2" xfId="0" applyFill="1" applyBorder="1" applyAlignment="1">
      <alignment horizontal="center"/>
    </xf>
    <xf numFmtId="166" fontId="0" fillId="0" borderId="0" xfId="2" applyNumberFormat="1" applyFont="1" applyBorder="1"/>
    <xf numFmtId="166" fontId="0" fillId="0" borderId="3" xfId="2" applyNumberFormat="1" applyFont="1" applyBorder="1"/>
    <xf numFmtId="166" fontId="0" fillId="0" borderId="8" xfId="2" applyNumberFormat="1" applyFont="1" applyBorder="1"/>
    <xf numFmtId="164" fontId="0" fillId="0" borderId="4" xfId="1" applyNumberFormat="1" applyFont="1" applyBorder="1"/>
    <xf numFmtId="164" fontId="0" fillId="0" borderId="6" xfId="1" applyNumberFormat="1" applyFont="1" applyBorder="1"/>
    <xf numFmtId="164" fontId="0" fillId="0" borderId="9" xfId="1" applyNumberFormat="1" applyFont="1" applyBorder="1"/>
    <xf numFmtId="166" fontId="0" fillId="0" borderId="0" xfId="2" applyNumberFormat="1" applyFont="1"/>
    <xf numFmtId="10" fontId="0" fillId="0" borderId="0" xfId="2" applyNumberFormat="1" applyFont="1"/>
    <xf numFmtId="0" fontId="0" fillId="3" borderId="1" xfId="0" applyFill="1" applyBorder="1" applyAlignment="1">
      <alignment horizontal="center"/>
    </xf>
    <xf numFmtId="0" fontId="0" fillId="3" borderId="0" xfId="0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142875</xdr:rowOff>
        </xdr:from>
        <xdr:to>
          <xdr:col>11</xdr:col>
          <xdr:colOff>200025</xdr:colOff>
          <xdr:row>3</xdr:row>
          <xdr:rowOff>57150</xdr:rowOff>
        </xdr:to>
        <xdr:sp macro="" textlink="">
          <xdr:nvSpPr>
            <xdr:cNvPr id="1026" name="bVisualis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Redraw Visualisation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5</xdr:row>
      <xdr:rowOff>190499</xdr:rowOff>
    </xdr:from>
    <xdr:to>
      <xdr:col>10</xdr:col>
      <xdr:colOff>85249</xdr:colOff>
      <xdr:row>9</xdr:row>
      <xdr:rowOff>38099</xdr:rowOff>
    </xdr:to>
    <xdr:sp macro="" textlink="">
      <xdr:nvSpPr>
        <xdr:cNvPr id="3523" name="F0001"/>
        <xdr:cNvSpPr/>
      </xdr:nvSpPr>
      <xdr:spPr>
        <a:xfrm>
          <a:off x="4886325" y="1142999"/>
          <a:ext cx="1304449" cy="800100"/>
        </a:xfrm>
        <a:prstGeom prst="rect">
          <a:avLst/>
        </a:prstGeom>
        <a:solidFill>
          <a:schemeClr val="bg1">
            <a:lumMod val="100000"/>
          </a:schemeClr>
        </a:solidFill>
        <a:ln w="2540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9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Facility: F0001</a:t>
          </a:r>
        </a:p>
        <a:p>
          <a:pPr algn="l"/>
          <a:r>
            <a:rPr lang="en-GB" sz="9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Orig Limit = 10000</a:t>
          </a:r>
        </a:p>
        <a:p>
          <a:pPr algn="l"/>
          <a:r>
            <a:rPr lang="en-GB" sz="9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Rollup Bal = 8000</a:t>
          </a:r>
        </a:p>
        <a:p>
          <a:pPr algn="l"/>
          <a:r>
            <a:rPr lang="en-GB" sz="9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Rollup Undraw = 2000</a:t>
          </a:r>
        </a:p>
      </xdr:txBody>
    </xdr:sp>
    <xdr:clientData/>
  </xdr:twoCellAnchor>
  <xdr:twoCellAnchor>
    <xdr:from>
      <xdr:col>8</xdr:col>
      <xdr:colOff>0</xdr:colOff>
      <xdr:row>11</xdr:row>
      <xdr:rowOff>126999</xdr:rowOff>
    </xdr:from>
    <xdr:to>
      <xdr:col>10</xdr:col>
      <xdr:colOff>85249</xdr:colOff>
      <xdr:row>14</xdr:row>
      <xdr:rowOff>355599</xdr:rowOff>
    </xdr:to>
    <xdr:sp macro="" textlink="">
      <xdr:nvSpPr>
        <xdr:cNvPr id="3524" name="F0002"/>
        <xdr:cNvSpPr/>
      </xdr:nvSpPr>
      <xdr:spPr>
        <a:xfrm>
          <a:off x="4886325" y="2412999"/>
          <a:ext cx="1304449" cy="800100"/>
        </a:xfrm>
        <a:prstGeom prst="rect">
          <a:avLst/>
        </a:prstGeom>
        <a:solidFill>
          <a:schemeClr val="bg1">
            <a:lumMod val="100000"/>
          </a:schemeClr>
        </a:solidFill>
        <a:ln w="2540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9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Facility: F0002</a:t>
          </a:r>
        </a:p>
        <a:p>
          <a:pPr algn="l"/>
          <a:r>
            <a:rPr lang="en-GB" sz="900" strike="sngStrike" baseline="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Orig Limit = 6000</a:t>
          </a:r>
        </a:p>
        <a:p>
          <a:pPr algn="l"/>
          <a:r>
            <a:rPr lang="en-GB" sz="9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New Limit = 5000</a:t>
          </a:r>
        </a:p>
        <a:p>
          <a:pPr algn="l"/>
          <a:r>
            <a:rPr lang="en-GB" sz="9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Rollup Bal = 4000</a:t>
          </a:r>
        </a:p>
        <a:p>
          <a:pPr algn="l"/>
          <a:r>
            <a:rPr lang="en-GB" sz="9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Rollup Undraw = 1000</a:t>
          </a:r>
        </a:p>
      </xdr:txBody>
    </xdr:sp>
    <xdr:clientData/>
  </xdr:twoCellAnchor>
  <xdr:twoCellAnchor>
    <xdr:from>
      <xdr:col>9</xdr:col>
      <xdr:colOff>36275</xdr:colOff>
      <xdr:row>9</xdr:row>
      <xdr:rowOff>44449</xdr:rowOff>
    </xdr:from>
    <xdr:to>
      <xdr:col>9</xdr:col>
      <xdr:colOff>48975</xdr:colOff>
      <xdr:row>11</xdr:row>
      <xdr:rowOff>133349</xdr:rowOff>
    </xdr:to>
    <xdr:cxnSp macro="">
      <xdr:nvCxnSpPr>
        <xdr:cNvPr id="3525" name="Elbow Connector 3524"/>
        <xdr:cNvCxnSpPr>
          <a:stCxn id="3523" idx="2"/>
          <a:endCxn id="3524" idx="0"/>
        </xdr:cNvCxnSpPr>
      </xdr:nvCxnSpPr>
      <xdr:spPr>
        <a:xfrm rot="5400000">
          <a:off x="5303600" y="2178049"/>
          <a:ext cx="469900" cy="12700"/>
        </a:xfrm>
        <a:prstGeom prst="bentConnector3">
          <a:avLst>
            <a:gd name="adj1" fmla="val 5000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17</xdr:row>
      <xdr:rowOff>63499</xdr:rowOff>
    </xdr:from>
    <xdr:to>
      <xdr:col>10</xdr:col>
      <xdr:colOff>85249</xdr:colOff>
      <xdr:row>21</xdr:row>
      <xdr:rowOff>101599</xdr:rowOff>
    </xdr:to>
    <xdr:sp macro="" textlink="">
      <xdr:nvSpPr>
        <xdr:cNvPr id="3526" name="F0004"/>
        <xdr:cNvSpPr/>
      </xdr:nvSpPr>
      <xdr:spPr>
        <a:xfrm>
          <a:off x="4886325" y="3682999"/>
          <a:ext cx="1304449" cy="800100"/>
        </a:xfrm>
        <a:prstGeom prst="rect">
          <a:avLst/>
        </a:prstGeom>
        <a:solidFill>
          <a:schemeClr val="bg1">
            <a:lumMod val="100000"/>
          </a:schemeClr>
        </a:solidFill>
        <a:ln w="2540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9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Facility: F0004</a:t>
          </a:r>
        </a:p>
        <a:p>
          <a:pPr algn="l"/>
          <a:r>
            <a:rPr lang="en-GB" sz="900" strike="sngStrike" baseline="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Orig Limit = 4000</a:t>
          </a:r>
        </a:p>
        <a:p>
          <a:pPr algn="l"/>
          <a:r>
            <a:rPr lang="en-GB" sz="9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New Limit = 2500</a:t>
          </a:r>
        </a:p>
        <a:p>
          <a:pPr algn="l"/>
          <a:r>
            <a:rPr lang="en-GB" sz="9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Rollup Bal = 2000</a:t>
          </a:r>
        </a:p>
        <a:p>
          <a:pPr algn="l"/>
          <a:r>
            <a:rPr lang="en-GB" sz="9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Rollup Undraw = 500</a:t>
          </a:r>
        </a:p>
      </xdr:txBody>
    </xdr:sp>
    <xdr:clientData/>
  </xdr:twoCellAnchor>
  <xdr:twoCellAnchor>
    <xdr:from>
      <xdr:col>9</xdr:col>
      <xdr:colOff>36275</xdr:colOff>
      <xdr:row>14</xdr:row>
      <xdr:rowOff>361949</xdr:rowOff>
    </xdr:from>
    <xdr:to>
      <xdr:col>9</xdr:col>
      <xdr:colOff>48975</xdr:colOff>
      <xdr:row>17</xdr:row>
      <xdr:rowOff>69849</xdr:rowOff>
    </xdr:to>
    <xdr:cxnSp macro="">
      <xdr:nvCxnSpPr>
        <xdr:cNvPr id="3527" name="Elbow Connector 3526"/>
        <xdr:cNvCxnSpPr>
          <a:stCxn id="3524" idx="2"/>
          <a:endCxn id="3526" idx="0"/>
        </xdr:cNvCxnSpPr>
      </xdr:nvCxnSpPr>
      <xdr:spPr>
        <a:xfrm rot="5400000">
          <a:off x="5303600" y="3448049"/>
          <a:ext cx="469900" cy="12700"/>
        </a:xfrm>
        <a:prstGeom prst="bentConnector3">
          <a:avLst>
            <a:gd name="adj1" fmla="val 5000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23</xdr:row>
      <xdr:rowOff>190499</xdr:rowOff>
    </xdr:from>
    <xdr:to>
      <xdr:col>10</xdr:col>
      <xdr:colOff>85249</xdr:colOff>
      <xdr:row>28</xdr:row>
      <xdr:rowOff>38099</xdr:rowOff>
    </xdr:to>
    <xdr:sp macro="" textlink="">
      <xdr:nvSpPr>
        <xdr:cNvPr id="3528" name="F0005"/>
        <xdr:cNvSpPr/>
      </xdr:nvSpPr>
      <xdr:spPr>
        <a:xfrm>
          <a:off x="4886325" y="4952999"/>
          <a:ext cx="1304449" cy="800100"/>
        </a:xfrm>
        <a:prstGeom prst="rect">
          <a:avLst/>
        </a:prstGeom>
        <a:solidFill>
          <a:schemeClr val="bg1">
            <a:lumMod val="100000"/>
          </a:schemeClr>
        </a:solidFill>
        <a:ln w="2540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9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Facility: F0005</a:t>
          </a:r>
        </a:p>
        <a:p>
          <a:pPr algn="l"/>
          <a:r>
            <a:rPr lang="en-GB" sz="900" strike="sngStrike" baseline="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Orig Limit = 8000</a:t>
          </a:r>
        </a:p>
        <a:p>
          <a:pPr algn="l"/>
          <a:r>
            <a:rPr lang="en-GB" sz="9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New Limit = 0</a:t>
          </a:r>
        </a:p>
        <a:p>
          <a:pPr algn="l"/>
          <a:r>
            <a:rPr lang="en-GB" sz="9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Rollup Bal = 0</a:t>
          </a:r>
        </a:p>
        <a:p>
          <a:pPr algn="l"/>
          <a:r>
            <a:rPr lang="en-GB" sz="9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Rollup Undraw = 0</a:t>
          </a:r>
        </a:p>
      </xdr:txBody>
    </xdr:sp>
    <xdr:clientData/>
  </xdr:twoCellAnchor>
  <xdr:twoCellAnchor>
    <xdr:from>
      <xdr:col>9</xdr:col>
      <xdr:colOff>36275</xdr:colOff>
      <xdr:row>21</xdr:row>
      <xdr:rowOff>107949</xdr:rowOff>
    </xdr:from>
    <xdr:to>
      <xdr:col>9</xdr:col>
      <xdr:colOff>48975</xdr:colOff>
      <xdr:row>24</xdr:row>
      <xdr:rowOff>6349</xdr:rowOff>
    </xdr:to>
    <xdr:cxnSp macro="">
      <xdr:nvCxnSpPr>
        <xdr:cNvPr id="3529" name="Elbow Connector 3528"/>
        <xdr:cNvCxnSpPr>
          <a:stCxn id="3526" idx="2"/>
          <a:endCxn id="3528" idx="0"/>
        </xdr:cNvCxnSpPr>
      </xdr:nvCxnSpPr>
      <xdr:spPr>
        <a:xfrm rot="5400000">
          <a:off x="5303600" y="4718049"/>
          <a:ext cx="469900" cy="12700"/>
        </a:xfrm>
        <a:prstGeom prst="bentConnector3">
          <a:avLst>
            <a:gd name="adj1" fmla="val 5000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431800</xdr:colOff>
      <xdr:row>23</xdr:row>
      <xdr:rowOff>190499</xdr:rowOff>
    </xdr:from>
    <xdr:to>
      <xdr:col>12</xdr:col>
      <xdr:colOff>517049</xdr:colOff>
      <xdr:row>28</xdr:row>
      <xdr:rowOff>38099</xdr:rowOff>
    </xdr:to>
    <xdr:sp macro="" textlink="">
      <xdr:nvSpPr>
        <xdr:cNvPr id="3530" name="P0004"/>
        <xdr:cNvSpPr/>
      </xdr:nvSpPr>
      <xdr:spPr>
        <a:xfrm>
          <a:off x="6537325" y="4952999"/>
          <a:ext cx="1304449" cy="8001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2540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9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Product: P0004</a:t>
          </a:r>
        </a:p>
        <a:p>
          <a:pPr algn="l"/>
          <a:r>
            <a:rPr lang="en-GB" sz="9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Drawn = 2000</a:t>
          </a:r>
        </a:p>
        <a:p>
          <a:pPr algn="l"/>
          <a:r>
            <a:rPr lang="en-GB" sz="9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Undrawn = 500</a:t>
          </a:r>
        </a:p>
        <a:p>
          <a:pPr algn="l"/>
          <a:r>
            <a:rPr lang="en-GB" sz="9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Drawn Col = 160;80</a:t>
          </a:r>
        </a:p>
        <a:p>
          <a:pPr algn="l"/>
          <a:r>
            <a:rPr lang="en-GB" sz="9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Undraw Col =40;20</a:t>
          </a:r>
        </a:p>
      </xdr:txBody>
    </xdr:sp>
    <xdr:clientData/>
  </xdr:twoCellAnchor>
  <xdr:twoCellAnchor>
    <xdr:from>
      <xdr:col>9</xdr:col>
      <xdr:colOff>42625</xdr:colOff>
      <xdr:row>21</xdr:row>
      <xdr:rowOff>101599</xdr:rowOff>
    </xdr:from>
    <xdr:to>
      <xdr:col>11</xdr:col>
      <xdr:colOff>474425</xdr:colOff>
      <xdr:row>23</xdr:row>
      <xdr:rowOff>190499</xdr:rowOff>
    </xdr:to>
    <xdr:cxnSp macro="">
      <xdr:nvCxnSpPr>
        <xdr:cNvPr id="3531" name="Elbow Connector 3530"/>
        <xdr:cNvCxnSpPr>
          <a:stCxn id="3526" idx="2"/>
          <a:endCxn id="3530" idx="0"/>
        </xdr:cNvCxnSpPr>
      </xdr:nvCxnSpPr>
      <xdr:spPr>
        <a:xfrm rot="16200000" flipH="1">
          <a:off x="6129100" y="3892549"/>
          <a:ext cx="469900" cy="1651000"/>
        </a:xfrm>
        <a:prstGeom prst="bentConnector3">
          <a:avLst>
            <a:gd name="adj1" fmla="val 5000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254000</xdr:colOff>
      <xdr:row>23</xdr:row>
      <xdr:rowOff>190499</xdr:rowOff>
    </xdr:from>
    <xdr:to>
      <xdr:col>15</xdr:col>
      <xdr:colOff>339249</xdr:colOff>
      <xdr:row>28</xdr:row>
      <xdr:rowOff>38099</xdr:rowOff>
    </xdr:to>
    <xdr:sp macro="" textlink="">
      <xdr:nvSpPr>
        <xdr:cNvPr id="3532" name="C0003"/>
        <xdr:cNvSpPr/>
      </xdr:nvSpPr>
      <xdr:spPr>
        <a:xfrm>
          <a:off x="8188325" y="4952999"/>
          <a:ext cx="1304449" cy="8001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2540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9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Collateral: C0003</a:t>
          </a:r>
        </a:p>
        <a:p>
          <a:pPr algn="l"/>
          <a:r>
            <a:rPr lang="en-GB" sz="9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Value = 200</a:t>
          </a:r>
        </a:p>
      </xdr:txBody>
    </xdr:sp>
    <xdr:clientData/>
  </xdr:twoCellAnchor>
  <xdr:twoCellAnchor>
    <xdr:from>
      <xdr:col>9</xdr:col>
      <xdr:colOff>42625</xdr:colOff>
      <xdr:row>21</xdr:row>
      <xdr:rowOff>101599</xdr:rowOff>
    </xdr:from>
    <xdr:to>
      <xdr:col>14</xdr:col>
      <xdr:colOff>296625</xdr:colOff>
      <xdr:row>23</xdr:row>
      <xdr:rowOff>190499</xdr:rowOff>
    </xdr:to>
    <xdr:cxnSp macro="">
      <xdr:nvCxnSpPr>
        <xdr:cNvPr id="3533" name="Elbow Connector 3532"/>
        <xdr:cNvCxnSpPr>
          <a:stCxn id="3526" idx="2"/>
          <a:endCxn id="3532" idx="0"/>
        </xdr:cNvCxnSpPr>
      </xdr:nvCxnSpPr>
      <xdr:spPr>
        <a:xfrm rot="16200000" flipH="1">
          <a:off x="6954600" y="3067049"/>
          <a:ext cx="469900" cy="3302000"/>
        </a:xfrm>
        <a:prstGeom prst="bentConnector3">
          <a:avLst>
            <a:gd name="adj1" fmla="val 5000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76200</xdr:colOff>
      <xdr:row>23</xdr:row>
      <xdr:rowOff>190499</xdr:rowOff>
    </xdr:from>
    <xdr:to>
      <xdr:col>18</xdr:col>
      <xdr:colOff>161449</xdr:colOff>
      <xdr:row>28</xdr:row>
      <xdr:rowOff>38099</xdr:rowOff>
    </xdr:to>
    <xdr:sp macro="" textlink="">
      <xdr:nvSpPr>
        <xdr:cNvPr id="3534" name="C0004"/>
        <xdr:cNvSpPr/>
      </xdr:nvSpPr>
      <xdr:spPr>
        <a:xfrm>
          <a:off x="9839325" y="4952999"/>
          <a:ext cx="1304449" cy="8001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2540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9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Collateral: C0004</a:t>
          </a:r>
        </a:p>
        <a:p>
          <a:pPr algn="l"/>
          <a:r>
            <a:rPr lang="en-GB" sz="9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Value = 100</a:t>
          </a:r>
        </a:p>
      </xdr:txBody>
    </xdr:sp>
    <xdr:clientData/>
  </xdr:twoCellAnchor>
  <xdr:twoCellAnchor>
    <xdr:from>
      <xdr:col>9</xdr:col>
      <xdr:colOff>42625</xdr:colOff>
      <xdr:row>21</xdr:row>
      <xdr:rowOff>101599</xdr:rowOff>
    </xdr:from>
    <xdr:to>
      <xdr:col>17</xdr:col>
      <xdr:colOff>118825</xdr:colOff>
      <xdr:row>23</xdr:row>
      <xdr:rowOff>190499</xdr:rowOff>
    </xdr:to>
    <xdr:cxnSp macro="">
      <xdr:nvCxnSpPr>
        <xdr:cNvPr id="3535" name="Elbow Connector 3534"/>
        <xdr:cNvCxnSpPr>
          <a:stCxn id="3526" idx="2"/>
          <a:endCxn id="3534" idx="0"/>
        </xdr:cNvCxnSpPr>
      </xdr:nvCxnSpPr>
      <xdr:spPr>
        <a:xfrm rot="16200000" flipH="1">
          <a:off x="7780100" y="2241549"/>
          <a:ext cx="469900" cy="4953000"/>
        </a:xfrm>
        <a:prstGeom prst="bentConnector3">
          <a:avLst>
            <a:gd name="adj1" fmla="val 5000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431800</xdr:colOff>
      <xdr:row>17</xdr:row>
      <xdr:rowOff>63499</xdr:rowOff>
    </xdr:from>
    <xdr:to>
      <xdr:col>12</xdr:col>
      <xdr:colOff>517049</xdr:colOff>
      <xdr:row>21</xdr:row>
      <xdr:rowOff>101599</xdr:rowOff>
    </xdr:to>
    <xdr:sp macro="" textlink="">
      <xdr:nvSpPr>
        <xdr:cNvPr id="3536" name="P0001"/>
        <xdr:cNvSpPr/>
      </xdr:nvSpPr>
      <xdr:spPr>
        <a:xfrm>
          <a:off x="6537325" y="3682999"/>
          <a:ext cx="1304449" cy="8001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2540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9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Product: P0001</a:t>
          </a:r>
        </a:p>
        <a:p>
          <a:pPr algn="l"/>
          <a:r>
            <a:rPr lang="en-GB" sz="9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Drawn = 1500</a:t>
          </a:r>
        </a:p>
        <a:p>
          <a:pPr algn="l"/>
          <a:r>
            <a:rPr lang="en-GB" sz="9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Undrawn = 375</a:t>
          </a:r>
        </a:p>
        <a:p>
          <a:pPr algn="l"/>
          <a:r>
            <a:rPr lang="en-GB" sz="9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Drawn Col = 360</a:t>
          </a:r>
        </a:p>
        <a:p>
          <a:pPr algn="l"/>
          <a:r>
            <a:rPr lang="en-GB" sz="9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Undraw Col =90</a:t>
          </a:r>
        </a:p>
      </xdr:txBody>
    </xdr:sp>
    <xdr:clientData/>
  </xdr:twoCellAnchor>
  <xdr:twoCellAnchor>
    <xdr:from>
      <xdr:col>9</xdr:col>
      <xdr:colOff>42625</xdr:colOff>
      <xdr:row>14</xdr:row>
      <xdr:rowOff>355599</xdr:rowOff>
    </xdr:from>
    <xdr:to>
      <xdr:col>11</xdr:col>
      <xdr:colOff>474425</xdr:colOff>
      <xdr:row>17</xdr:row>
      <xdr:rowOff>63499</xdr:rowOff>
    </xdr:to>
    <xdr:cxnSp macro="">
      <xdr:nvCxnSpPr>
        <xdr:cNvPr id="3537" name="Elbow Connector 3536"/>
        <xdr:cNvCxnSpPr>
          <a:stCxn id="3524" idx="2"/>
          <a:endCxn id="3536" idx="0"/>
        </xdr:cNvCxnSpPr>
      </xdr:nvCxnSpPr>
      <xdr:spPr>
        <a:xfrm rot="16200000" flipH="1">
          <a:off x="6129100" y="2622549"/>
          <a:ext cx="469900" cy="1651000"/>
        </a:xfrm>
        <a:prstGeom prst="bentConnector3">
          <a:avLst>
            <a:gd name="adj1" fmla="val 5000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254000</xdr:colOff>
      <xdr:row>17</xdr:row>
      <xdr:rowOff>63499</xdr:rowOff>
    </xdr:from>
    <xdr:to>
      <xdr:col>15</xdr:col>
      <xdr:colOff>339249</xdr:colOff>
      <xdr:row>21</xdr:row>
      <xdr:rowOff>101599</xdr:rowOff>
    </xdr:to>
    <xdr:sp macro="" textlink="">
      <xdr:nvSpPr>
        <xdr:cNvPr id="3538" name="P0002"/>
        <xdr:cNvSpPr/>
      </xdr:nvSpPr>
      <xdr:spPr>
        <a:xfrm>
          <a:off x="8188325" y="3682999"/>
          <a:ext cx="1304449" cy="8001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2540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9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Product: P0002</a:t>
          </a:r>
        </a:p>
        <a:p>
          <a:pPr algn="l"/>
          <a:r>
            <a:rPr lang="en-GB" sz="9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Drawn = 500</a:t>
          </a:r>
        </a:p>
        <a:p>
          <a:pPr algn="l"/>
          <a:r>
            <a:rPr lang="en-GB" sz="9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Undrawn = 125</a:t>
          </a:r>
        </a:p>
        <a:p>
          <a:pPr algn="l"/>
          <a:r>
            <a:rPr lang="en-GB" sz="9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Drawn Col = 120</a:t>
          </a:r>
        </a:p>
        <a:p>
          <a:pPr algn="l"/>
          <a:r>
            <a:rPr lang="en-GB" sz="9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Undraw Col =30</a:t>
          </a:r>
        </a:p>
      </xdr:txBody>
    </xdr:sp>
    <xdr:clientData/>
  </xdr:twoCellAnchor>
  <xdr:twoCellAnchor>
    <xdr:from>
      <xdr:col>9</xdr:col>
      <xdr:colOff>42625</xdr:colOff>
      <xdr:row>14</xdr:row>
      <xdr:rowOff>355599</xdr:rowOff>
    </xdr:from>
    <xdr:to>
      <xdr:col>14</xdr:col>
      <xdr:colOff>296625</xdr:colOff>
      <xdr:row>17</xdr:row>
      <xdr:rowOff>63499</xdr:rowOff>
    </xdr:to>
    <xdr:cxnSp macro="">
      <xdr:nvCxnSpPr>
        <xdr:cNvPr id="3539" name="Elbow Connector 3538"/>
        <xdr:cNvCxnSpPr>
          <a:stCxn id="3524" idx="2"/>
          <a:endCxn id="3538" idx="0"/>
        </xdr:cNvCxnSpPr>
      </xdr:nvCxnSpPr>
      <xdr:spPr>
        <a:xfrm rot="16200000" flipH="1">
          <a:off x="6954600" y="1797049"/>
          <a:ext cx="469900" cy="3302000"/>
        </a:xfrm>
        <a:prstGeom prst="bentConnector3">
          <a:avLst>
            <a:gd name="adj1" fmla="val 5000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76200</xdr:colOff>
      <xdr:row>17</xdr:row>
      <xdr:rowOff>63499</xdr:rowOff>
    </xdr:from>
    <xdr:to>
      <xdr:col>18</xdr:col>
      <xdr:colOff>161449</xdr:colOff>
      <xdr:row>21</xdr:row>
      <xdr:rowOff>101599</xdr:rowOff>
    </xdr:to>
    <xdr:sp macro="" textlink="">
      <xdr:nvSpPr>
        <xdr:cNvPr id="3540" name="C0001"/>
        <xdr:cNvSpPr/>
      </xdr:nvSpPr>
      <xdr:spPr>
        <a:xfrm>
          <a:off x="9839325" y="3682999"/>
          <a:ext cx="1304449" cy="8001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2540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9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Collateral: C0001</a:t>
          </a:r>
        </a:p>
        <a:p>
          <a:pPr algn="l"/>
          <a:r>
            <a:rPr lang="en-GB" sz="9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Value = 600</a:t>
          </a:r>
        </a:p>
      </xdr:txBody>
    </xdr:sp>
    <xdr:clientData/>
  </xdr:twoCellAnchor>
  <xdr:twoCellAnchor>
    <xdr:from>
      <xdr:col>9</xdr:col>
      <xdr:colOff>42625</xdr:colOff>
      <xdr:row>14</xdr:row>
      <xdr:rowOff>355599</xdr:rowOff>
    </xdr:from>
    <xdr:to>
      <xdr:col>17</xdr:col>
      <xdr:colOff>118825</xdr:colOff>
      <xdr:row>17</xdr:row>
      <xdr:rowOff>63499</xdr:rowOff>
    </xdr:to>
    <xdr:cxnSp macro="">
      <xdr:nvCxnSpPr>
        <xdr:cNvPr id="3541" name="Elbow Connector 3540"/>
        <xdr:cNvCxnSpPr>
          <a:stCxn id="3524" idx="2"/>
          <a:endCxn id="3540" idx="0"/>
        </xdr:cNvCxnSpPr>
      </xdr:nvCxnSpPr>
      <xdr:spPr>
        <a:xfrm rot="16200000" flipH="1">
          <a:off x="7780100" y="971549"/>
          <a:ext cx="469900" cy="4953000"/>
        </a:xfrm>
        <a:prstGeom prst="bentConnector3">
          <a:avLst>
            <a:gd name="adj1" fmla="val 5000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431800</xdr:colOff>
      <xdr:row>11</xdr:row>
      <xdr:rowOff>126999</xdr:rowOff>
    </xdr:from>
    <xdr:to>
      <xdr:col>12</xdr:col>
      <xdr:colOff>517049</xdr:colOff>
      <xdr:row>14</xdr:row>
      <xdr:rowOff>355599</xdr:rowOff>
    </xdr:to>
    <xdr:sp macro="" textlink="">
      <xdr:nvSpPr>
        <xdr:cNvPr id="3542" name="F0003"/>
        <xdr:cNvSpPr/>
      </xdr:nvSpPr>
      <xdr:spPr>
        <a:xfrm>
          <a:off x="6537325" y="2412999"/>
          <a:ext cx="1304449" cy="800100"/>
        </a:xfrm>
        <a:prstGeom prst="rect">
          <a:avLst/>
        </a:prstGeom>
        <a:solidFill>
          <a:schemeClr val="bg1">
            <a:lumMod val="100000"/>
          </a:schemeClr>
        </a:solidFill>
        <a:ln w="2540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9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Facility: F0003</a:t>
          </a:r>
        </a:p>
        <a:p>
          <a:pPr algn="l"/>
          <a:r>
            <a:rPr lang="en-GB" sz="900" strike="sngStrike" baseline="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Orig Limit = 6000</a:t>
          </a:r>
        </a:p>
        <a:p>
          <a:pPr algn="l"/>
          <a:r>
            <a:rPr lang="en-GB" sz="9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New Limit = 5000</a:t>
          </a:r>
        </a:p>
        <a:p>
          <a:pPr algn="l"/>
          <a:r>
            <a:rPr lang="en-GB" sz="9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Rollup Bal = 4000</a:t>
          </a:r>
        </a:p>
        <a:p>
          <a:pPr algn="l"/>
          <a:r>
            <a:rPr lang="en-GB" sz="9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Rollup Undraw = 1000</a:t>
          </a:r>
        </a:p>
      </xdr:txBody>
    </xdr:sp>
    <xdr:clientData/>
  </xdr:twoCellAnchor>
  <xdr:twoCellAnchor>
    <xdr:from>
      <xdr:col>9</xdr:col>
      <xdr:colOff>42625</xdr:colOff>
      <xdr:row>9</xdr:row>
      <xdr:rowOff>38099</xdr:rowOff>
    </xdr:from>
    <xdr:to>
      <xdr:col>11</xdr:col>
      <xdr:colOff>474425</xdr:colOff>
      <xdr:row>11</xdr:row>
      <xdr:rowOff>126999</xdr:rowOff>
    </xdr:to>
    <xdr:cxnSp macro="">
      <xdr:nvCxnSpPr>
        <xdr:cNvPr id="3543" name="Elbow Connector 3542"/>
        <xdr:cNvCxnSpPr>
          <a:stCxn id="3523" idx="2"/>
          <a:endCxn id="3542" idx="0"/>
        </xdr:cNvCxnSpPr>
      </xdr:nvCxnSpPr>
      <xdr:spPr>
        <a:xfrm rot="16200000" flipH="1">
          <a:off x="6129100" y="1352549"/>
          <a:ext cx="469900" cy="1651000"/>
        </a:xfrm>
        <a:prstGeom prst="bentConnector3">
          <a:avLst>
            <a:gd name="adj1" fmla="val 5000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508000</xdr:colOff>
      <xdr:row>16</xdr:row>
      <xdr:rowOff>126999</xdr:rowOff>
    </xdr:from>
    <xdr:to>
      <xdr:col>20</xdr:col>
      <xdr:colOff>593249</xdr:colOff>
      <xdr:row>20</xdr:row>
      <xdr:rowOff>165099</xdr:rowOff>
    </xdr:to>
    <xdr:sp macro="" textlink="">
      <xdr:nvSpPr>
        <xdr:cNvPr id="3544" name="P0003"/>
        <xdr:cNvSpPr/>
      </xdr:nvSpPr>
      <xdr:spPr>
        <a:xfrm>
          <a:off x="11490325" y="3555999"/>
          <a:ext cx="1304449" cy="8001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2540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9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Product: P0003</a:t>
          </a:r>
        </a:p>
        <a:p>
          <a:pPr algn="l"/>
          <a:r>
            <a:rPr lang="en-GB" sz="9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Drawn = 4000</a:t>
          </a:r>
        </a:p>
        <a:p>
          <a:pPr algn="l"/>
          <a:r>
            <a:rPr lang="en-GB" sz="9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Undrawn = 1000</a:t>
          </a:r>
        </a:p>
        <a:p>
          <a:pPr algn="l"/>
          <a:r>
            <a:rPr lang="en-GB" sz="9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Drawn Col = 2400</a:t>
          </a:r>
        </a:p>
        <a:p>
          <a:pPr algn="l"/>
          <a:r>
            <a:rPr lang="en-GB" sz="9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Undraw Col =600</a:t>
          </a:r>
        </a:p>
      </xdr:txBody>
    </xdr:sp>
    <xdr:clientData/>
  </xdr:twoCellAnchor>
  <xdr:twoCellAnchor>
    <xdr:from>
      <xdr:col>11</xdr:col>
      <xdr:colOff>474425</xdr:colOff>
      <xdr:row>14</xdr:row>
      <xdr:rowOff>355599</xdr:rowOff>
    </xdr:from>
    <xdr:to>
      <xdr:col>19</xdr:col>
      <xdr:colOff>550625</xdr:colOff>
      <xdr:row>16</xdr:row>
      <xdr:rowOff>126999</xdr:rowOff>
    </xdr:to>
    <xdr:cxnSp macro="">
      <xdr:nvCxnSpPr>
        <xdr:cNvPr id="3545" name="Elbow Connector 3544"/>
        <xdr:cNvCxnSpPr>
          <a:stCxn id="3542" idx="2"/>
          <a:endCxn id="3544" idx="0"/>
        </xdr:cNvCxnSpPr>
      </xdr:nvCxnSpPr>
      <xdr:spPr>
        <a:xfrm rot="16200000" flipH="1">
          <a:off x="9494600" y="908049"/>
          <a:ext cx="342900" cy="4953000"/>
        </a:xfrm>
        <a:prstGeom prst="bentConnector3">
          <a:avLst>
            <a:gd name="adj1" fmla="val 5000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330200</xdr:colOff>
      <xdr:row>16</xdr:row>
      <xdr:rowOff>126999</xdr:rowOff>
    </xdr:from>
    <xdr:to>
      <xdr:col>23</xdr:col>
      <xdr:colOff>415449</xdr:colOff>
      <xdr:row>20</xdr:row>
      <xdr:rowOff>165099</xdr:rowOff>
    </xdr:to>
    <xdr:sp macro="" textlink="">
      <xdr:nvSpPr>
        <xdr:cNvPr id="3546" name="C0002"/>
        <xdr:cNvSpPr/>
      </xdr:nvSpPr>
      <xdr:spPr>
        <a:xfrm>
          <a:off x="13141325" y="3555999"/>
          <a:ext cx="1304449" cy="8001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2540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9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Collateral: C0002</a:t>
          </a:r>
        </a:p>
        <a:p>
          <a:pPr algn="l"/>
          <a:r>
            <a:rPr lang="en-GB" sz="9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Value = 3000</a:t>
          </a:r>
        </a:p>
      </xdr:txBody>
    </xdr:sp>
    <xdr:clientData/>
  </xdr:twoCellAnchor>
  <xdr:twoCellAnchor>
    <xdr:from>
      <xdr:col>11</xdr:col>
      <xdr:colOff>474425</xdr:colOff>
      <xdr:row>14</xdr:row>
      <xdr:rowOff>355599</xdr:rowOff>
    </xdr:from>
    <xdr:to>
      <xdr:col>22</xdr:col>
      <xdr:colOff>372825</xdr:colOff>
      <xdr:row>16</xdr:row>
      <xdr:rowOff>126999</xdr:rowOff>
    </xdr:to>
    <xdr:cxnSp macro="">
      <xdr:nvCxnSpPr>
        <xdr:cNvPr id="3547" name="Elbow Connector 3546"/>
        <xdr:cNvCxnSpPr>
          <a:stCxn id="3542" idx="2"/>
          <a:endCxn id="3546" idx="0"/>
        </xdr:cNvCxnSpPr>
      </xdr:nvCxnSpPr>
      <xdr:spPr>
        <a:xfrm rot="16200000" flipH="1">
          <a:off x="10320100" y="82549"/>
          <a:ext cx="342900" cy="6604000"/>
        </a:xfrm>
        <a:prstGeom prst="bentConnector3">
          <a:avLst>
            <a:gd name="adj1" fmla="val 5000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2</xdr:row>
          <xdr:rowOff>0</xdr:rowOff>
        </xdr:from>
        <xdr:to>
          <xdr:col>3</xdr:col>
          <xdr:colOff>104775</xdr:colOff>
          <xdr:row>3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V36"/>
  <sheetViews>
    <sheetView showGridLines="0" zoomScale="90" zoomScaleNormal="90" workbookViewId="0"/>
  </sheetViews>
  <sheetFormatPr defaultRowHeight="15" x14ac:dyDescent="0.25"/>
  <cols>
    <col min="1" max="1" width="1.5703125" customWidth="1"/>
    <col min="2" max="7" width="10.42578125" customWidth="1"/>
  </cols>
  <sheetData>
    <row r="1" spans="2:22" s="19" customFormat="1" x14ac:dyDescent="0.25">
      <c r="B1" s="18" t="s">
        <v>34</v>
      </c>
    </row>
    <row r="3" spans="2:22" x14ac:dyDescent="0.25">
      <c r="B3" t="s">
        <v>29</v>
      </c>
    </row>
    <row r="5" spans="2:22" x14ac:dyDescent="0.25">
      <c r="B5" s="1" t="s">
        <v>0</v>
      </c>
      <c r="I5" s="1" t="s">
        <v>27</v>
      </c>
      <c r="T5" t="s">
        <v>28</v>
      </c>
      <c r="V5" s="20">
        <v>1</v>
      </c>
    </row>
    <row r="7" spans="2:22" ht="30" x14ac:dyDescent="0.25">
      <c r="B7" s="16" t="s">
        <v>2</v>
      </c>
      <c r="C7" s="16" t="s">
        <v>9</v>
      </c>
      <c r="D7" s="16" t="s">
        <v>10</v>
      </c>
      <c r="E7" s="16" t="s">
        <v>52</v>
      </c>
      <c r="I7" s="17"/>
      <c r="T7" s="16" t="s">
        <v>31</v>
      </c>
      <c r="U7" s="16" t="s">
        <v>30</v>
      </c>
      <c r="V7" s="16" t="s">
        <v>32</v>
      </c>
    </row>
    <row r="8" spans="2:22" x14ac:dyDescent="0.25">
      <c r="B8" s="4" t="s">
        <v>5</v>
      </c>
      <c r="C8" s="5"/>
      <c r="D8" s="5">
        <v>0</v>
      </c>
      <c r="E8" s="31">
        <v>2E-3</v>
      </c>
      <c r="T8" s="21">
        <v>10000</v>
      </c>
      <c r="U8" s="22">
        <v>10000</v>
      </c>
      <c r="V8" s="23">
        <v>10000</v>
      </c>
    </row>
    <row r="9" spans="2:22" x14ac:dyDescent="0.25">
      <c r="B9" s="8" t="s">
        <v>6</v>
      </c>
      <c r="C9" s="9" t="str">
        <f>B8</f>
        <v>C0001</v>
      </c>
      <c r="D9" s="9">
        <v>1</v>
      </c>
      <c r="E9" s="32">
        <v>0.02</v>
      </c>
      <c r="T9" s="24">
        <v>6000</v>
      </c>
      <c r="U9" s="25">
        <v>4500</v>
      </c>
      <c r="V9" s="26">
        <v>4500</v>
      </c>
    </row>
    <row r="10" spans="2:22" x14ac:dyDescent="0.25">
      <c r="B10" s="8" t="s">
        <v>7</v>
      </c>
      <c r="C10" s="9" t="str">
        <f>B8</f>
        <v>C0001</v>
      </c>
      <c r="D10" s="9">
        <v>0</v>
      </c>
      <c r="E10" s="32">
        <v>0.01</v>
      </c>
      <c r="T10" s="24">
        <v>6000</v>
      </c>
      <c r="U10" s="25">
        <v>8000</v>
      </c>
      <c r="V10" s="26">
        <v>4500</v>
      </c>
    </row>
    <row r="11" spans="2:22" x14ac:dyDescent="0.25">
      <c r="B11" s="12" t="s">
        <v>8</v>
      </c>
      <c r="C11" s="13"/>
      <c r="D11" s="13">
        <v>0</v>
      </c>
      <c r="E11" s="33">
        <v>5.0000000000000001E-3</v>
      </c>
      <c r="T11" s="24">
        <v>4000</v>
      </c>
      <c r="U11" s="25">
        <v>4000</v>
      </c>
      <c r="V11" s="26">
        <v>4000</v>
      </c>
    </row>
    <row r="12" spans="2:22" x14ac:dyDescent="0.25">
      <c r="T12" s="27">
        <v>8000</v>
      </c>
      <c r="U12" s="28">
        <v>8000</v>
      </c>
      <c r="V12" s="29">
        <v>8000</v>
      </c>
    </row>
    <row r="13" spans="2:22" x14ac:dyDescent="0.25">
      <c r="B13" s="1" t="s">
        <v>3</v>
      </c>
      <c r="C13" t="s">
        <v>62</v>
      </c>
    </row>
    <row r="14" spans="2:22" x14ac:dyDescent="0.25">
      <c r="T14" s="30" t="s">
        <v>33</v>
      </c>
    </row>
    <row r="15" spans="2:22" ht="30" x14ac:dyDescent="0.25">
      <c r="B15" s="16" t="s">
        <v>17</v>
      </c>
      <c r="C15" s="16" t="s">
        <v>18</v>
      </c>
      <c r="D15" s="16" t="s">
        <v>19</v>
      </c>
      <c r="E15" s="16" t="s">
        <v>2</v>
      </c>
    </row>
    <row r="16" spans="2:22" x14ac:dyDescent="0.25">
      <c r="B16" s="34" t="s">
        <v>12</v>
      </c>
      <c r="C16" s="5"/>
      <c r="D16" s="6">
        <f ca="1">OFFSET(T8,0,$V$5-1)</f>
        <v>10000</v>
      </c>
      <c r="E16" s="7" t="str">
        <f>B8</f>
        <v>C0001</v>
      </c>
    </row>
    <row r="17" spans="2:7" x14ac:dyDescent="0.25">
      <c r="B17" s="8" t="s">
        <v>13</v>
      </c>
      <c r="C17" s="9" t="str">
        <f>B16</f>
        <v>F0001</v>
      </c>
      <c r="D17" s="10">
        <f t="shared" ref="D17:D20" ca="1" si="0">OFFSET(T9,0,$V$5-1)</f>
        <v>6000</v>
      </c>
      <c r="E17" s="11" t="str">
        <f>B8</f>
        <v>C0001</v>
      </c>
    </row>
    <row r="18" spans="2:7" x14ac:dyDescent="0.25">
      <c r="B18" s="8" t="s">
        <v>14</v>
      </c>
      <c r="C18" s="9" t="str">
        <f>B16</f>
        <v>F0001</v>
      </c>
      <c r="D18" s="10">
        <f t="shared" ca="1" si="0"/>
        <v>6000</v>
      </c>
      <c r="E18" s="11" t="str">
        <f>B9</f>
        <v>C0002</v>
      </c>
    </row>
    <row r="19" spans="2:7" x14ac:dyDescent="0.25">
      <c r="B19" s="8" t="s">
        <v>15</v>
      </c>
      <c r="C19" s="9" t="str">
        <f>B17</f>
        <v>F0002</v>
      </c>
      <c r="D19" s="10">
        <f t="shared" ca="1" si="0"/>
        <v>4000</v>
      </c>
      <c r="E19" s="11" t="str">
        <f>B10</f>
        <v>C0003</v>
      </c>
    </row>
    <row r="20" spans="2:7" x14ac:dyDescent="0.25">
      <c r="B20" s="12" t="s">
        <v>16</v>
      </c>
      <c r="C20" s="13" t="str">
        <f>B19</f>
        <v>F0004</v>
      </c>
      <c r="D20" s="14">
        <f t="shared" ca="1" si="0"/>
        <v>8000</v>
      </c>
      <c r="E20" s="15" t="str">
        <f>B10</f>
        <v>C0003</v>
      </c>
    </row>
    <row r="22" spans="2:7" x14ac:dyDescent="0.25">
      <c r="B22" s="1" t="s">
        <v>4</v>
      </c>
    </row>
    <row r="24" spans="2:7" x14ac:dyDescent="0.25">
      <c r="B24" s="16" t="s">
        <v>20</v>
      </c>
      <c r="C24" s="16" t="s">
        <v>17</v>
      </c>
      <c r="D24" s="16" t="s">
        <v>2</v>
      </c>
      <c r="E24" s="16" t="s">
        <v>23</v>
      </c>
      <c r="F24" s="16" t="s">
        <v>35</v>
      </c>
      <c r="G24" s="16" t="s">
        <v>53</v>
      </c>
    </row>
    <row r="25" spans="2:7" x14ac:dyDescent="0.25">
      <c r="B25" s="4" t="s">
        <v>21</v>
      </c>
      <c r="C25" s="5" t="str">
        <f>B17</f>
        <v>F0002</v>
      </c>
      <c r="D25" s="5" t="str">
        <f>VLOOKUP(C25,B16:E20,4,0)</f>
        <v>C0001</v>
      </c>
      <c r="E25" s="6">
        <v>1500</v>
      </c>
      <c r="F25" s="36">
        <v>0.35</v>
      </c>
      <c r="G25" s="38">
        <v>2.5</v>
      </c>
    </row>
    <row r="26" spans="2:7" x14ac:dyDescent="0.25">
      <c r="B26" s="8" t="s">
        <v>24</v>
      </c>
      <c r="C26" s="9" t="str">
        <f>B17</f>
        <v>F0002</v>
      </c>
      <c r="D26" s="9" t="str">
        <f t="shared" ref="D26:D28" si="1">VLOOKUP(C26,B17:E21,4,0)</f>
        <v>C0001</v>
      </c>
      <c r="E26" s="10">
        <v>500</v>
      </c>
      <c r="F26" s="35">
        <v>0.5</v>
      </c>
      <c r="G26" s="39">
        <v>1</v>
      </c>
    </row>
    <row r="27" spans="2:7" x14ac:dyDescent="0.25">
      <c r="B27" s="8" t="s">
        <v>25</v>
      </c>
      <c r="C27" s="9" t="str">
        <f>B18</f>
        <v>F0003</v>
      </c>
      <c r="D27" s="9" t="str">
        <f t="shared" si="1"/>
        <v>C0002</v>
      </c>
      <c r="E27" s="10">
        <v>4000</v>
      </c>
      <c r="F27" s="35">
        <v>0.45</v>
      </c>
      <c r="G27" s="39">
        <v>4</v>
      </c>
    </row>
    <row r="28" spans="2:7" x14ac:dyDescent="0.25">
      <c r="B28" s="12" t="s">
        <v>26</v>
      </c>
      <c r="C28" s="13" t="s">
        <v>15</v>
      </c>
      <c r="D28" s="13" t="str">
        <f t="shared" si="1"/>
        <v>C0003</v>
      </c>
      <c r="E28" s="14">
        <v>2000</v>
      </c>
      <c r="F28" s="37">
        <v>0.45</v>
      </c>
      <c r="G28" s="40">
        <v>5</v>
      </c>
    </row>
    <row r="29" spans="2:7" x14ac:dyDescent="0.25">
      <c r="B29" s="2"/>
      <c r="C29" s="2"/>
    </row>
    <row r="30" spans="2:7" x14ac:dyDescent="0.25">
      <c r="B30" s="1" t="s">
        <v>1</v>
      </c>
    </row>
    <row r="32" spans="2:7" x14ac:dyDescent="0.25">
      <c r="B32" s="16" t="s">
        <v>39</v>
      </c>
      <c r="C32" s="16" t="s">
        <v>17</v>
      </c>
      <c r="D32" s="16" t="s">
        <v>40</v>
      </c>
    </row>
    <row r="33" spans="2:4" x14ac:dyDescent="0.25">
      <c r="B33" s="4" t="s">
        <v>5</v>
      </c>
      <c r="C33" s="5" t="s">
        <v>13</v>
      </c>
      <c r="D33" s="7">
        <v>600</v>
      </c>
    </row>
    <row r="34" spans="2:4" x14ac:dyDescent="0.25">
      <c r="B34" s="8" t="s">
        <v>6</v>
      </c>
      <c r="C34" s="9" t="s">
        <v>14</v>
      </c>
      <c r="D34" s="11">
        <v>3000</v>
      </c>
    </row>
    <row r="35" spans="2:4" x14ac:dyDescent="0.25">
      <c r="B35" s="8" t="s">
        <v>7</v>
      </c>
      <c r="C35" s="9" t="s">
        <v>15</v>
      </c>
      <c r="D35" s="11">
        <v>200</v>
      </c>
    </row>
    <row r="36" spans="2:4" x14ac:dyDescent="0.25">
      <c r="B36" s="12" t="s">
        <v>8</v>
      </c>
      <c r="C36" s="13" t="s">
        <v>15</v>
      </c>
      <c r="D36" s="15">
        <v>100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Visualise">
              <controlPr defaultSize="0" print="0" autoFill="0" autoPict="0" macro="[0]!VisualiseTransactionHierarchy">
                <anchor moveWithCells="1" sizeWithCells="1">
                  <from>
                    <xdr:col>8</xdr:col>
                    <xdr:colOff>0</xdr:colOff>
                    <xdr:row>1</xdr:row>
                    <xdr:rowOff>142875</xdr:rowOff>
                  </from>
                  <to>
                    <xdr:col>11</xdr:col>
                    <xdr:colOff>200025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L26"/>
  <sheetViews>
    <sheetView showGridLines="0" tabSelected="1" workbookViewId="0">
      <selection activeCell="B6" sqref="B6:K26"/>
    </sheetView>
  </sheetViews>
  <sheetFormatPr defaultRowHeight="15" x14ac:dyDescent="0.25"/>
  <cols>
    <col min="1" max="1" width="1.5703125" customWidth="1"/>
    <col min="2" max="6" width="14.140625" customWidth="1"/>
    <col min="7" max="7" width="17.85546875" customWidth="1"/>
    <col min="8" max="12" width="14.140625" customWidth="1"/>
  </cols>
  <sheetData>
    <row r="1" spans="2:12" s="19" customFormat="1" x14ac:dyDescent="0.25">
      <c r="B1" s="18" t="s">
        <v>60</v>
      </c>
    </row>
    <row r="6" spans="2:12" x14ac:dyDescent="0.25">
      <c r="B6" s="43" t="s">
        <v>20</v>
      </c>
      <c r="C6" s="44" t="s">
        <v>17</v>
      </c>
      <c r="D6" s="44" t="s">
        <v>2</v>
      </c>
      <c r="E6" s="44" t="s">
        <v>48</v>
      </c>
      <c r="F6" s="44" t="s">
        <v>49</v>
      </c>
      <c r="G6" s="44" t="s">
        <v>50</v>
      </c>
      <c r="H6" s="44" t="s">
        <v>51</v>
      </c>
      <c r="I6" s="44" t="s">
        <v>52</v>
      </c>
      <c r="J6" s="44" t="s">
        <v>35</v>
      </c>
      <c r="K6" s="44" t="s">
        <v>53</v>
      </c>
      <c r="L6" s="44" t="s">
        <v>54</v>
      </c>
    </row>
    <row r="7" spans="2:12" x14ac:dyDescent="0.25">
      <c r="B7" t="s">
        <v>21</v>
      </c>
      <c r="C7" t="s">
        <v>13</v>
      </c>
      <c r="D7" t="s">
        <v>5</v>
      </c>
      <c r="E7" t="s">
        <v>5</v>
      </c>
      <c r="F7" t="s">
        <v>22</v>
      </c>
      <c r="G7" t="s">
        <v>58</v>
      </c>
      <c r="H7" s="3">
        <v>360</v>
      </c>
      <c r="I7" s="42">
        <v>2E-3</v>
      </c>
      <c r="J7" s="41">
        <v>0.35</v>
      </c>
      <c r="K7">
        <v>2.5</v>
      </c>
      <c r="L7" s="3">
        <v>130.2788331630322</v>
      </c>
    </row>
    <row r="8" spans="2:12" x14ac:dyDescent="0.25">
      <c r="B8" t="s">
        <v>21</v>
      </c>
      <c r="C8" t="s">
        <v>13</v>
      </c>
      <c r="D8" t="s">
        <v>5</v>
      </c>
      <c r="F8" t="s">
        <v>22</v>
      </c>
      <c r="G8" t="s">
        <v>59</v>
      </c>
      <c r="H8" s="3">
        <v>1140</v>
      </c>
      <c r="I8" s="42">
        <v>2E-3</v>
      </c>
      <c r="J8" s="41">
        <v>0.35</v>
      </c>
      <c r="K8">
        <v>2.5</v>
      </c>
      <c r="L8" s="3">
        <v>412.54963834960199</v>
      </c>
    </row>
    <row r="9" spans="2:12" x14ac:dyDescent="0.25">
      <c r="B9" t="s">
        <v>21</v>
      </c>
      <c r="C9" t="s">
        <v>13</v>
      </c>
      <c r="D9" t="s">
        <v>5</v>
      </c>
      <c r="E9" t="s">
        <v>5</v>
      </c>
      <c r="F9" t="s">
        <v>37</v>
      </c>
      <c r="G9" t="s">
        <v>58</v>
      </c>
      <c r="H9" s="3">
        <v>90</v>
      </c>
      <c r="I9" s="42">
        <v>2E-3</v>
      </c>
      <c r="J9" s="41">
        <v>0.35</v>
      </c>
      <c r="K9">
        <v>2.5</v>
      </c>
      <c r="L9" s="3">
        <v>32.569708290758051</v>
      </c>
    </row>
    <row r="10" spans="2:12" x14ac:dyDescent="0.25">
      <c r="B10" t="s">
        <v>21</v>
      </c>
      <c r="C10" t="s">
        <v>13</v>
      </c>
      <c r="D10" t="s">
        <v>5</v>
      </c>
      <c r="F10" t="s">
        <v>37</v>
      </c>
      <c r="G10" t="s">
        <v>59</v>
      </c>
      <c r="H10" s="3">
        <v>285</v>
      </c>
      <c r="I10" s="42">
        <v>2E-3</v>
      </c>
      <c r="J10" s="41">
        <v>0.35</v>
      </c>
      <c r="K10">
        <v>2.5</v>
      </c>
      <c r="L10" s="3">
        <v>103.1374095874005</v>
      </c>
    </row>
    <row r="11" spans="2:12" x14ac:dyDescent="0.25">
      <c r="B11" t="s">
        <v>24</v>
      </c>
      <c r="C11" t="s">
        <v>13</v>
      </c>
      <c r="D11" t="s">
        <v>5</v>
      </c>
      <c r="E11" t="s">
        <v>5</v>
      </c>
      <c r="F11" t="s">
        <v>22</v>
      </c>
      <c r="G11" t="s">
        <v>58</v>
      </c>
      <c r="H11" s="3">
        <v>120</v>
      </c>
      <c r="I11" s="42">
        <v>2E-3</v>
      </c>
      <c r="J11" s="41">
        <v>0.5</v>
      </c>
      <c r="K11">
        <v>1</v>
      </c>
      <c r="L11" s="3">
        <v>42.436082045183426</v>
      </c>
    </row>
    <row r="12" spans="2:12" x14ac:dyDescent="0.25">
      <c r="B12" t="s">
        <v>24</v>
      </c>
      <c r="C12" t="s">
        <v>13</v>
      </c>
      <c r="D12" t="s">
        <v>5</v>
      </c>
      <c r="F12" t="s">
        <v>22</v>
      </c>
      <c r="G12" t="s">
        <v>59</v>
      </c>
      <c r="H12" s="3">
        <v>380</v>
      </c>
      <c r="I12" s="42">
        <v>2E-3</v>
      </c>
      <c r="J12" s="41">
        <v>0.5</v>
      </c>
      <c r="K12">
        <v>1</v>
      </c>
      <c r="L12" s="3">
        <v>134.38092647641417</v>
      </c>
    </row>
    <row r="13" spans="2:12" x14ac:dyDescent="0.25">
      <c r="B13" t="s">
        <v>24</v>
      </c>
      <c r="C13" t="s">
        <v>13</v>
      </c>
      <c r="D13" t="s">
        <v>5</v>
      </c>
      <c r="E13" t="s">
        <v>5</v>
      </c>
      <c r="F13" t="s">
        <v>37</v>
      </c>
      <c r="G13" t="s">
        <v>58</v>
      </c>
      <c r="H13" s="3">
        <v>30</v>
      </c>
      <c r="I13" s="42">
        <v>2E-3</v>
      </c>
      <c r="J13" s="41">
        <v>0.5</v>
      </c>
      <c r="K13">
        <v>1</v>
      </c>
      <c r="L13" s="3">
        <v>10.609020511295856</v>
      </c>
    </row>
    <row r="14" spans="2:12" x14ac:dyDescent="0.25">
      <c r="B14" t="s">
        <v>24</v>
      </c>
      <c r="C14" t="s">
        <v>13</v>
      </c>
      <c r="D14" t="s">
        <v>5</v>
      </c>
      <c r="F14" t="s">
        <v>37</v>
      </c>
      <c r="G14" t="s">
        <v>59</v>
      </c>
      <c r="H14" s="3">
        <v>95</v>
      </c>
      <c r="I14" s="42">
        <v>2E-3</v>
      </c>
      <c r="J14" s="41">
        <v>0.5</v>
      </c>
      <c r="K14">
        <v>1</v>
      </c>
      <c r="L14" s="3">
        <v>33.595231619103544</v>
      </c>
    </row>
    <row r="15" spans="2:12" x14ac:dyDescent="0.25">
      <c r="B15" t="s">
        <v>25</v>
      </c>
      <c r="C15" t="s">
        <v>14</v>
      </c>
      <c r="D15" t="s">
        <v>6</v>
      </c>
      <c r="E15" t="s">
        <v>6</v>
      </c>
      <c r="F15" t="s">
        <v>22</v>
      </c>
      <c r="G15" t="s">
        <v>58</v>
      </c>
      <c r="H15" s="3">
        <v>2400</v>
      </c>
      <c r="I15" s="42">
        <v>0.02</v>
      </c>
      <c r="J15" s="41">
        <v>0.45</v>
      </c>
      <c r="K15">
        <v>4</v>
      </c>
      <c r="L15" s="3">
        <v>3407.376928329636</v>
      </c>
    </row>
    <row r="16" spans="2:12" x14ac:dyDescent="0.25">
      <c r="B16" t="s">
        <v>25</v>
      </c>
      <c r="C16" t="s">
        <v>14</v>
      </c>
      <c r="D16" t="s">
        <v>6</v>
      </c>
      <c r="F16" t="s">
        <v>22</v>
      </c>
      <c r="G16" t="s">
        <v>59</v>
      </c>
      <c r="H16" s="3">
        <v>1600</v>
      </c>
      <c r="I16" s="42">
        <v>0.02</v>
      </c>
      <c r="J16" s="41">
        <v>0.45</v>
      </c>
      <c r="K16">
        <v>4</v>
      </c>
      <c r="L16" s="3">
        <v>2271.5846188864239</v>
      </c>
    </row>
    <row r="17" spans="2:12" x14ac:dyDescent="0.25">
      <c r="B17" t="s">
        <v>25</v>
      </c>
      <c r="C17" t="s">
        <v>14</v>
      </c>
      <c r="D17" t="s">
        <v>6</v>
      </c>
      <c r="E17" t="s">
        <v>6</v>
      </c>
      <c r="F17" t="s">
        <v>37</v>
      </c>
      <c r="G17" t="s">
        <v>58</v>
      </c>
      <c r="H17" s="3">
        <v>600</v>
      </c>
      <c r="I17" s="42">
        <v>0.02</v>
      </c>
      <c r="J17" s="41">
        <v>0.45</v>
      </c>
      <c r="K17">
        <v>4</v>
      </c>
      <c r="L17" s="3">
        <v>851.84423208240901</v>
      </c>
    </row>
    <row r="18" spans="2:12" x14ac:dyDescent="0.25">
      <c r="B18" t="s">
        <v>25</v>
      </c>
      <c r="C18" t="s">
        <v>14</v>
      </c>
      <c r="D18" t="s">
        <v>6</v>
      </c>
      <c r="F18" t="s">
        <v>37</v>
      </c>
      <c r="G18" t="s">
        <v>59</v>
      </c>
      <c r="H18" s="3">
        <v>400</v>
      </c>
      <c r="I18" s="42">
        <v>0.02</v>
      </c>
      <c r="J18" s="41">
        <v>0.45</v>
      </c>
      <c r="K18">
        <v>4</v>
      </c>
      <c r="L18" s="3">
        <v>567.89615472160597</v>
      </c>
    </row>
    <row r="19" spans="2:12" x14ac:dyDescent="0.25">
      <c r="B19" t="s">
        <v>26</v>
      </c>
      <c r="C19" t="s">
        <v>15</v>
      </c>
      <c r="D19" t="s">
        <v>7</v>
      </c>
      <c r="E19" t="s">
        <v>7</v>
      </c>
      <c r="F19" t="s">
        <v>22</v>
      </c>
      <c r="G19" t="s">
        <v>58</v>
      </c>
      <c r="H19" s="3">
        <v>160</v>
      </c>
      <c r="I19" s="42">
        <v>0.01</v>
      </c>
      <c r="J19" s="41">
        <v>0.45</v>
      </c>
      <c r="K19">
        <v>5</v>
      </c>
      <c r="L19" s="3">
        <v>210.38457094987717</v>
      </c>
    </row>
    <row r="20" spans="2:12" x14ac:dyDescent="0.25">
      <c r="B20" t="s">
        <v>26</v>
      </c>
      <c r="C20" t="s">
        <v>15</v>
      </c>
      <c r="D20" t="s">
        <v>7</v>
      </c>
      <c r="E20" t="s">
        <v>8</v>
      </c>
      <c r="F20" t="s">
        <v>22</v>
      </c>
      <c r="G20" t="s">
        <v>58</v>
      </c>
      <c r="H20" s="3">
        <v>80</v>
      </c>
      <c r="I20" s="42">
        <v>0.01</v>
      </c>
      <c r="J20" s="41">
        <v>0.45</v>
      </c>
      <c r="K20">
        <v>5</v>
      </c>
      <c r="L20" s="3">
        <v>105.19228547493859</v>
      </c>
    </row>
    <row r="21" spans="2:12" x14ac:dyDescent="0.25">
      <c r="B21" t="s">
        <v>26</v>
      </c>
      <c r="C21" t="s">
        <v>15</v>
      </c>
      <c r="D21" t="s">
        <v>7</v>
      </c>
      <c r="F21" t="s">
        <v>22</v>
      </c>
      <c r="G21" t="s">
        <v>59</v>
      </c>
      <c r="H21" s="3">
        <v>1760</v>
      </c>
      <c r="I21" s="42">
        <v>0.01</v>
      </c>
      <c r="J21" s="41">
        <v>0.45</v>
      </c>
      <c r="K21">
        <v>5</v>
      </c>
      <c r="L21" s="3">
        <v>2314.230280448649</v>
      </c>
    </row>
    <row r="22" spans="2:12" x14ac:dyDescent="0.25">
      <c r="B22" t="s">
        <v>26</v>
      </c>
      <c r="C22" t="s">
        <v>15</v>
      </c>
      <c r="D22" t="s">
        <v>7</v>
      </c>
      <c r="E22" t="s">
        <v>7</v>
      </c>
      <c r="F22" t="s">
        <v>37</v>
      </c>
      <c r="G22" t="s">
        <v>58</v>
      </c>
      <c r="H22" s="3">
        <v>40</v>
      </c>
      <c r="I22" s="42">
        <v>0.01</v>
      </c>
      <c r="J22" s="41">
        <v>0.45</v>
      </c>
      <c r="K22">
        <v>5</v>
      </c>
      <c r="L22" s="3">
        <v>52.596142737469293</v>
      </c>
    </row>
    <row r="23" spans="2:12" x14ac:dyDescent="0.25">
      <c r="B23" t="s">
        <v>26</v>
      </c>
      <c r="C23" t="s">
        <v>15</v>
      </c>
      <c r="D23" t="s">
        <v>7</v>
      </c>
      <c r="E23" t="s">
        <v>8</v>
      </c>
      <c r="F23" t="s">
        <v>37</v>
      </c>
      <c r="G23" t="s">
        <v>58</v>
      </c>
      <c r="H23" s="3">
        <v>20</v>
      </c>
      <c r="I23" s="42">
        <v>0.01</v>
      </c>
      <c r="J23" s="41">
        <v>0.45</v>
      </c>
      <c r="K23">
        <v>5</v>
      </c>
      <c r="L23" s="3">
        <v>26.298071368734647</v>
      </c>
    </row>
    <row r="24" spans="2:12" x14ac:dyDescent="0.25">
      <c r="B24" t="s">
        <v>26</v>
      </c>
      <c r="C24" t="s">
        <v>15</v>
      </c>
      <c r="D24" t="s">
        <v>7</v>
      </c>
      <c r="F24" t="s">
        <v>37</v>
      </c>
      <c r="G24" t="s">
        <v>59</v>
      </c>
      <c r="H24" s="3">
        <v>440</v>
      </c>
      <c r="I24" s="42">
        <v>0.01</v>
      </c>
      <c r="J24" s="41">
        <v>0.45</v>
      </c>
      <c r="K24">
        <v>5</v>
      </c>
      <c r="L24" s="3">
        <v>578.55757011216224</v>
      </c>
    </row>
    <row r="25" spans="2:12" x14ac:dyDescent="0.25">
      <c r="H25" s="3"/>
      <c r="L25" s="3"/>
    </row>
    <row r="26" spans="2:12" x14ac:dyDescent="0.25">
      <c r="H26" s="3"/>
      <c r="L26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OutputExpandedRows">
                <anchor moveWithCells="1" sizeWithCells="1">
                  <from>
                    <xdr:col>1</xdr:col>
                    <xdr:colOff>66675</xdr:colOff>
                    <xdr:row>2</xdr:row>
                    <xdr:rowOff>0</xdr:rowOff>
                  </from>
                  <to>
                    <xdr:col>3</xdr:col>
                    <xdr:colOff>104775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P25"/>
  <sheetViews>
    <sheetView showGridLines="0" workbookViewId="0"/>
  </sheetViews>
  <sheetFormatPr defaultRowHeight="15" x14ac:dyDescent="0.25"/>
  <cols>
    <col min="1" max="1" width="1.5703125" customWidth="1"/>
    <col min="2" max="2" width="19.140625" customWidth="1"/>
    <col min="16" max="16" width="9.140625" customWidth="1"/>
  </cols>
  <sheetData>
    <row r="1" spans="2:3" s="19" customFormat="1" x14ac:dyDescent="0.25">
      <c r="B1" s="18" t="s">
        <v>63</v>
      </c>
    </row>
    <row r="3" spans="2:3" x14ac:dyDescent="0.25">
      <c r="B3" s="1" t="s">
        <v>57</v>
      </c>
    </row>
    <row r="5" spans="2:3" x14ac:dyDescent="0.25">
      <c r="B5" s="44" t="s">
        <v>55</v>
      </c>
      <c r="C5" s="44" t="s">
        <v>56</v>
      </c>
    </row>
    <row r="6" spans="2:3" x14ac:dyDescent="0.25">
      <c r="B6" t="s">
        <v>20</v>
      </c>
      <c r="C6">
        <v>0</v>
      </c>
    </row>
    <row r="7" spans="2:3" x14ac:dyDescent="0.25">
      <c r="B7" t="s">
        <v>17</v>
      </c>
      <c r="C7">
        <v>0</v>
      </c>
    </row>
    <row r="8" spans="2:3" x14ac:dyDescent="0.25">
      <c r="B8" t="s">
        <v>2</v>
      </c>
      <c r="C8">
        <v>0</v>
      </c>
    </row>
    <row r="9" spans="2:3" x14ac:dyDescent="0.25">
      <c r="B9" t="s">
        <v>39</v>
      </c>
      <c r="C9">
        <v>1</v>
      </c>
    </row>
    <row r="10" spans="2:3" x14ac:dyDescent="0.25">
      <c r="B10" t="s">
        <v>49</v>
      </c>
      <c r="C10">
        <v>1</v>
      </c>
    </row>
    <row r="11" spans="2:3" x14ac:dyDescent="0.25">
      <c r="B11" t="s">
        <v>50</v>
      </c>
      <c r="C11">
        <v>1</v>
      </c>
    </row>
    <row r="12" spans="2:3" x14ac:dyDescent="0.25">
      <c r="B12" t="s">
        <v>51</v>
      </c>
      <c r="C12">
        <v>1</v>
      </c>
    </row>
    <row r="13" spans="2:3" x14ac:dyDescent="0.25">
      <c r="B13" t="s">
        <v>52</v>
      </c>
      <c r="C13">
        <v>0</v>
      </c>
    </row>
    <row r="14" spans="2:3" x14ac:dyDescent="0.25">
      <c r="B14" t="s">
        <v>35</v>
      </c>
      <c r="C14">
        <v>0</v>
      </c>
    </row>
    <row r="15" spans="2:3" x14ac:dyDescent="0.25">
      <c r="B15" t="s">
        <v>53</v>
      </c>
      <c r="C15">
        <v>0</v>
      </c>
    </row>
    <row r="16" spans="2:3" x14ac:dyDescent="0.25">
      <c r="B16" t="s">
        <v>54</v>
      </c>
      <c r="C16">
        <v>1</v>
      </c>
    </row>
    <row r="19" spans="2:16" x14ac:dyDescent="0.25">
      <c r="B19" s="1" t="s">
        <v>61</v>
      </c>
    </row>
    <row r="21" spans="2:16" x14ac:dyDescent="0.25">
      <c r="B21" t="s">
        <v>20</v>
      </c>
      <c r="C21" t="s">
        <v>17</v>
      </c>
      <c r="D21" t="s">
        <v>2</v>
      </c>
      <c r="E21" t="s">
        <v>23</v>
      </c>
      <c r="F21" t="s">
        <v>35</v>
      </c>
      <c r="G21" t="s">
        <v>36</v>
      </c>
      <c r="H21" t="s">
        <v>37</v>
      </c>
      <c r="I21" t="s">
        <v>38</v>
      </c>
      <c r="J21" t="s">
        <v>41</v>
      </c>
      <c r="K21" t="s">
        <v>42</v>
      </c>
      <c r="L21" t="s">
        <v>43</v>
      </c>
      <c r="M21" t="s">
        <v>44</v>
      </c>
      <c r="N21" t="s">
        <v>9</v>
      </c>
      <c r="O21" t="s">
        <v>10</v>
      </c>
      <c r="P21" t="s">
        <v>11</v>
      </c>
    </row>
    <row r="22" spans="2:16" x14ac:dyDescent="0.25">
      <c r="B22" t="s">
        <v>21</v>
      </c>
      <c r="C22" t="s">
        <v>13</v>
      </c>
      <c r="D22" t="s">
        <v>5</v>
      </c>
      <c r="E22">
        <v>1500</v>
      </c>
      <c r="F22">
        <v>0.35</v>
      </c>
      <c r="G22">
        <v>1500</v>
      </c>
      <c r="H22">
        <v>375</v>
      </c>
      <c r="I22">
        <v>375</v>
      </c>
      <c r="J22">
        <v>360</v>
      </c>
      <c r="K22" t="s">
        <v>5</v>
      </c>
      <c r="L22">
        <v>90</v>
      </c>
      <c r="M22" t="s">
        <v>5</v>
      </c>
      <c r="O22">
        <v>0</v>
      </c>
      <c r="P22">
        <v>2E-3</v>
      </c>
    </row>
    <row r="23" spans="2:16" x14ac:dyDescent="0.25">
      <c r="B23" t="s">
        <v>24</v>
      </c>
      <c r="C23" t="s">
        <v>13</v>
      </c>
      <c r="D23" t="s">
        <v>5</v>
      </c>
      <c r="E23">
        <v>500</v>
      </c>
      <c r="F23">
        <v>0.5</v>
      </c>
      <c r="G23">
        <v>500</v>
      </c>
      <c r="H23">
        <v>125</v>
      </c>
      <c r="I23">
        <v>125</v>
      </c>
      <c r="J23">
        <v>120</v>
      </c>
      <c r="K23" t="s">
        <v>5</v>
      </c>
      <c r="L23">
        <v>30</v>
      </c>
      <c r="M23" t="s">
        <v>5</v>
      </c>
      <c r="O23">
        <v>0</v>
      </c>
      <c r="P23">
        <v>2E-3</v>
      </c>
    </row>
    <row r="24" spans="2:16" x14ac:dyDescent="0.25">
      <c r="B24" t="s">
        <v>25</v>
      </c>
      <c r="C24" t="s">
        <v>14</v>
      </c>
      <c r="D24" t="s">
        <v>6</v>
      </c>
      <c r="E24">
        <v>4000</v>
      </c>
      <c r="F24">
        <v>0.45</v>
      </c>
      <c r="G24">
        <v>4000</v>
      </c>
      <c r="H24">
        <v>1000</v>
      </c>
      <c r="I24">
        <v>1000</v>
      </c>
      <c r="J24">
        <v>2400</v>
      </c>
      <c r="K24" t="s">
        <v>6</v>
      </c>
      <c r="L24">
        <v>600</v>
      </c>
      <c r="M24" t="s">
        <v>6</v>
      </c>
      <c r="N24" t="s">
        <v>5</v>
      </c>
      <c r="O24">
        <v>1</v>
      </c>
      <c r="P24">
        <v>0.02</v>
      </c>
    </row>
    <row r="25" spans="2:16" x14ac:dyDescent="0.25">
      <c r="B25" t="s">
        <v>26</v>
      </c>
      <c r="C25" t="s">
        <v>15</v>
      </c>
      <c r="D25" t="s">
        <v>7</v>
      </c>
      <c r="E25">
        <v>2000</v>
      </c>
      <c r="F25">
        <v>0.45</v>
      </c>
      <c r="G25">
        <v>2000</v>
      </c>
      <c r="H25">
        <v>500</v>
      </c>
      <c r="I25">
        <v>500</v>
      </c>
      <c r="J25" t="s">
        <v>45</v>
      </c>
      <c r="K25" t="s">
        <v>46</v>
      </c>
      <c r="L25" t="s">
        <v>47</v>
      </c>
      <c r="M25" t="s">
        <v>46</v>
      </c>
      <c r="N25" t="s">
        <v>5</v>
      </c>
      <c r="O25">
        <v>0</v>
      </c>
      <c r="P25">
        <v>0.01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Inputs</vt:lpstr>
      <vt:lpstr>ExpandedRows</vt:lpstr>
      <vt:lpstr>Notes</vt:lpstr>
      <vt:lpstr>rCollateral</vt:lpstr>
      <vt:lpstr>rCustomer</vt:lpstr>
      <vt:lpstr>rFacility</vt:lpstr>
      <vt:lpstr>rOutput</vt:lpstr>
      <vt:lpstr>rProduct</vt:lpstr>
      <vt:lpstr>rVisualise</vt:lpstr>
    </vt:vector>
  </TitlesOfParts>
  <Company>Ernst &amp; Young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Gerald Chappell</dc:creator>
  <cp:lastModifiedBy>Tanveer Rather</cp:lastModifiedBy>
  <dcterms:created xsi:type="dcterms:W3CDTF">2016-03-12T16:26:15Z</dcterms:created>
  <dcterms:modified xsi:type="dcterms:W3CDTF">2016-09-18T20:41:45Z</dcterms:modified>
</cp:coreProperties>
</file>